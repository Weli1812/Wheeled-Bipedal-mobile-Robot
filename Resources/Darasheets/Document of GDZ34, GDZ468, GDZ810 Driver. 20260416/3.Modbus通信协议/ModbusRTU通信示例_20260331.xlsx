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<sst xmlns="http://schemas.openxmlformats.org/spreadsheetml/2006/main" count="146" uniqueCount="87">
  <si>
    <t>运行模式</t>
  </si>
  <si>
    <t>运行步骤</t>
  </si>
  <si>
    <t>值</t>
  </si>
  <si>
    <t>Modbus地址</t>
  </si>
  <si>
    <t>ModbusRTU指令（Hex）
（从机设备地址为1）</t>
  </si>
  <si>
    <t>ModbusRTU返回指令（Hex）
（从机设备地址为1）</t>
  </si>
  <si>
    <t>十进制</t>
  </si>
  <si>
    <t>十六进制</t>
  </si>
  <si>
    <t>Length</t>
  </si>
  <si>
    <t>Q轴电流控制
目标电流1A（1/0.001 = 1000）
电流斜率0.2A/s（0.2/0.001 = 200）</t>
  </si>
  <si>
    <t>失能电机；</t>
  </si>
  <si>
    <t>0x00</t>
  </si>
  <si>
    <t>01 06 01 80 00 00 89 DE</t>
  </si>
  <si>
    <t>运行模式设为：Q轴电流控制；</t>
  </si>
  <si>
    <t>0x01</t>
  </si>
  <si>
    <t>01 06 01 81 00 01 19 DE</t>
  </si>
  <si>
    <t>设定目标Q轴电流；</t>
  </si>
  <si>
    <t>0x000003E8</t>
  </si>
  <si>
    <t>01 10 01 82 00 02 04 00 00 03 E8 77 38</t>
  </si>
  <si>
    <t>01 10 01 82 00 02 E0 1C</t>
  </si>
  <si>
    <t>设定Q轴电流斜率；</t>
  </si>
  <si>
    <t>0x000000C8</t>
  </si>
  <si>
    <t>01 10 01 84 00 02 04 00 00 00 C8 F6 3A</t>
  </si>
  <si>
    <t>01 10 01 84 00 02 00 1D</t>
  </si>
  <si>
    <t>下发参数和命令，使能电机运行；</t>
  </si>
  <si>
    <t>0xFF</t>
  </si>
  <si>
    <t>01 06 01 80 00 FF C9 9E</t>
  </si>
  <si>
    <t>速度控制
目标速度为100Rpm（100/0.01 = 10000）
加速度为20Rpm/s（20/0.01 = 2000）</t>
  </si>
  <si>
    <t>运行模式设为：速度控制；</t>
  </si>
  <si>
    <t>0x02</t>
  </si>
  <si>
    <t>01 06 01 81 00 02 59 DF</t>
  </si>
  <si>
    <t>设定目标速度；</t>
  </si>
  <si>
    <t>0x00002710</t>
  </si>
  <si>
    <t>01 10 01 86 00 02 04 00 00 27 10 6C 49</t>
  </si>
  <si>
    <t>01 10 01 86 00 02 A1 DD</t>
  </si>
  <si>
    <t>设定速度模式加速度；</t>
  </si>
  <si>
    <t>0x000007D0</t>
  </si>
  <si>
    <t>01 10 01 88 00 02 04 00 00 07 D0 F4 55</t>
  </si>
  <si>
    <t>01 10 01 88 00 02 C0 1E</t>
  </si>
  <si>
    <t>绝对值位置控制
目标绝对值位置为180度
（180/360*16384 = 8192）</t>
  </si>
  <si>
    <t>运行模式设为：绝对值位置控制；</t>
  </si>
  <si>
    <t>0x03</t>
  </si>
  <si>
    <t>01 06 01 81 00 03 98 1F</t>
  </si>
  <si>
    <t>设定绝对值目标位置；</t>
  </si>
  <si>
    <t>0x00002000</t>
  </si>
  <si>
    <t>01 10 01 8A 00 02 04 00 00 20 00 6F E0</t>
  </si>
  <si>
    <t>01 10 01 8A 00 02 61 DE</t>
  </si>
  <si>
    <t>相对值位置控制
相对位置转动90度
（90/360*16384 = 4096）</t>
  </si>
  <si>
    <t>运行模式设为：相对位置控制；</t>
  </si>
  <si>
    <t>0x04</t>
  </si>
  <si>
    <t>01 06 01 81 00 04 D9 DD</t>
  </si>
  <si>
    <t>设定相对运动位置值；</t>
  </si>
  <si>
    <t>0x00001000</t>
  </si>
  <si>
    <t>01 10 01 8C 00 02 04 00 00 10 00 FB CA</t>
  </si>
  <si>
    <t>01 10 01 8C 00 02 81 DF</t>
  </si>
  <si>
    <t>梯形曲线绝对值位置控制
目标绝对值位置为90度
（90/360*16384 = 4096）
加速度为10Rpm/s（10/0.01 = 1000）
减速度为10Rpm/s（10/0.01 = 1000）</t>
  </si>
  <si>
    <t>运行模式设为：梯形曲线绝对值位置控制；</t>
  </si>
  <si>
    <t>0x06</t>
  </si>
  <si>
    <t>01 06 01 81 00 06 58 1C</t>
  </si>
  <si>
    <t>设定梯形曲线位置控制的加速度；</t>
  </si>
  <si>
    <t>01 10 01 F4 00 02 04 00 00 03 E8 F0 36</t>
  </si>
  <si>
    <t>01 10 01 F4 00 02 01 C6</t>
  </si>
  <si>
    <t>设定梯形曲线位置控制的减速度；</t>
  </si>
  <si>
    <t>01 10 01 F6 00 02 04 00 00 03 E8 71 EF</t>
  </si>
  <si>
    <t>01 10 01 F6 00 02 A0 06</t>
  </si>
  <si>
    <t>设定梯形曲线绝对控制位置值；</t>
  </si>
  <si>
    <t>01 10 02 58 00 02 04 00 00 10 00 E3 95</t>
  </si>
  <si>
    <t>01 10 02 58 00 02 C1 A3</t>
  </si>
  <si>
    <t>位置滤波绝对值位置控制
目标绝对值位置为90度
（90/360*16384 = 4096）
控制频率：10Hz
转动惯量：0.001Nm/(turn/s²) 
最大前馈电流：1A（1/0.001 = 1000）</t>
  </si>
  <si>
    <t>0x08</t>
  </si>
  <si>
    <t>01 06 01 81 00 08 D9 D8</t>
  </si>
  <si>
    <t>设定位置滤波控制的频率；</t>
  </si>
  <si>
    <t>0x000A</t>
  </si>
  <si>
    <t>01 06 01 F8 00 0A 89 C0</t>
  </si>
  <si>
    <t>设定位置滤波控制的转动惯量；</t>
  </si>
  <si>
    <t>0x3A83126F</t>
  </si>
  <si>
    <t>01 10 01 F9 00 02 04 3A 83 12 6F 80 AD</t>
  </si>
  <si>
    <t>01 10 01 F9 00 02 90 05</t>
  </si>
  <si>
    <t>位置滤波模式最大前馈电流</t>
  </si>
  <si>
    <t>01 10 01 FB 00 02 04 00 00 03 E8 B0 76</t>
  </si>
  <si>
    <t>01 10 01 FB 00 02 31 C5</t>
  </si>
  <si>
    <t>设定位置滤波绝对控制位置值；</t>
  </si>
  <si>
    <t>01 10 02 5C 00 02 04 00 00 10 00 E2 66</t>
  </si>
  <si>
    <t>01 10 02 5C 00 02 80 62</t>
  </si>
  <si>
    <t>命令说明：</t>
  </si>
  <si>
    <t>01：从机地址；06：功能码-写单个保持寄存器；0180：协议寄存器地址；0000：数据；89DE：校验值；</t>
  </si>
  <si>
    <t>01：从机地址；10：功能码-写多个保持寄存器；0182：协议寄存器地址；0002：寄存器数；04：字节数；000003E8：数据；7738：校验值；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</si>
</sst>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Microsoft YaHei UI"/>
      <charset val="134"/>
    </font>
    <font>
      <b/>
      <sz val="10"/>
      <color theme="0"/>
      <name val="Microsoft YaHei UI"/>
      <charset val="134"/>
    </font>
    <font>
      <sz val="10"/>
      <color theme="1"/>
      <name val="Microsoft YaHei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C387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4" applyNumberFormat="0" applyAlignment="0" applyProtection="0">
      <alignment vertical="center"/>
    </xf>
    <xf numFmtId="0" fontId="13" fillId="7" borderId="25" applyNumberFormat="0" applyAlignment="0" applyProtection="0">
      <alignment vertical="center"/>
    </xf>
    <xf numFmtId="0" fontId="14" fillId="7" borderId="24" applyNumberFormat="0" applyAlignment="0" applyProtection="0">
      <alignment vertical="center"/>
    </xf>
    <xf numFmtId="0" fontId="15" fillId="8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26" applyFont="1" applyBorder="1" applyAlignment="1">
      <alignment horizontal="left" vertical="center" wrapText="1"/>
    </xf>
    <xf numFmtId="0" fontId="3" fillId="3" borderId="6" xfId="26" applyFont="1" applyBorder="1" applyAlignment="1">
      <alignment horizontal="left"/>
    </xf>
    <xf numFmtId="0" fontId="3" fillId="3" borderId="10" xfId="26" applyFont="1" applyBorder="1" applyAlignment="1">
      <alignment horizontal="left"/>
    </xf>
    <xf numFmtId="0" fontId="3" fillId="3" borderId="9" xfId="26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4" borderId="9" xfId="34" applyFont="1" applyBorder="1" applyAlignment="1">
      <alignment horizontal="left" vertical="center" wrapText="1"/>
    </xf>
    <xf numFmtId="0" fontId="3" fillId="4" borderId="6" xfId="34" applyFont="1" applyBorder="1" applyAlignment="1">
      <alignment horizontal="left"/>
    </xf>
    <xf numFmtId="0" fontId="3" fillId="4" borderId="10" xfId="34" applyFont="1" applyBorder="1" applyAlignment="1">
      <alignment horizontal="left"/>
    </xf>
    <xf numFmtId="0" fontId="3" fillId="4" borderId="9" xfId="34" applyFont="1" applyBorder="1" applyAlignment="1">
      <alignment horizontal="left" vertical="center"/>
    </xf>
    <xf numFmtId="0" fontId="3" fillId="4" borderId="12" xfId="34" applyFont="1" applyBorder="1" applyAlignment="1">
      <alignment horizontal="left" vertical="center" wrapText="1"/>
    </xf>
    <xf numFmtId="0" fontId="3" fillId="4" borderId="5" xfId="34" applyFont="1" applyBorder="1" applyAlignment="1">
      <alignment horizontal="left" vertical="center" wrapText="1"/>
    </xf>
    <xf numFmtId="0" fontId="3" fillId="4" borderId="13" xfId="34" applyFont="1" applyBorder="1" applyAlignment="1">
      <alignment horizontal="left"/>
    </xf>
    <xf numFmtId="0" fontId="3" fillId="4" borderId="14" xfId="34" applyFont="1" applyBorder="1" applyAlignment="1">
      <alignment horizontal="left"/>
    </xf>
    <xf numFmtId="0" fontId="3" fillId="0" borderId="5" xfId="34" applyFont="1" applyFill="1" applyBorder="1" applyAlignment="1">
      <alignment horizontal="center" vertical="center" wrapText="1"/>
    </xf>
    <xf numFmtId="0" fontId="3" fillId="0" borderId="0" xfId="34" applyFont="1" applyFill="1" applyAlignment="1">
      <alignment horizontal="center" vertical="center" wrapText="1"/>
    </xf>
    <xf numFmtId="0" fontId="3" fillId="0" borderId="11" xfId="34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3" fillId="4" borderId="15" xfId="34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C387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5"/>
  <sheetViews>
    <sheetView tabSelected="1" zoomScale="85" zoomScaleNormal="85" workbookViewId="0">
      <selection activeCell="B32" sqref="B32"/>
    </sheetView>
  </sheetViews>
  <sheetFormatPr defaultColWidth="9.06666666666667" defaultRowHeight="16.5"/>
  <cols>
    <col min="1" max="1" width="37.5" style="1" customWidth="1"/>
    <col min="2" max="2" width="33.0666666666667" style="1" customWidth="1"/>
    <col min="3" max="3" width="7.20833333333333" style="1" customWidth="1"/>
    <col min="4" max="4" width="12.0666666666667" style="1" customWidth="1"/>
    <col min="5" max="5" width="6.78333333333333" style="1" customWidth="1"/>
    <col min="6" max="6" width="8.425" style="1" customWidth="1"/>
    <col min="7" max="7" width="7.64166666666667" style="1" customWidth="1"/>
    <col min="8" max="8" width="35.5" style="1" customWidth="1"/>
    <col min="9" max="9" width="28.7833333333333" style="1" customWidth="1"/>
    <col min="10" max="16384" width="9.06666666666667" style="1"/>
  </cols>
  <sheetData>
    <row r="1" ht="13.95" customHeight="1" spans="1:9">
      <c r="A1" s="2" t="s">
        <v>0</v>
      </c>
      <c r="B1" s="3" t="s">
        <v>1</v>
      </c>
      <c r="C1" s="4" t="s">
        <v>2</v>
      </c>
      <c r="D1" s="4"/>
      <c r="E1" s="4" t="s">
        <v>3</v>
      </c>
      <c r="F1" s="4"/>
      <c r="G1" s="4"/>
      <c r="H1" s="5" t="s">
        <v>4</v>
      </c>
      <c r="I1" s="6" t="s">
        <v>5</v>
      </c>
    </row>
    <row r="2" ht="13.95" customHeight="1" spans="1:9">
      <c r="A2" s="7"/>
      <c r="B2" s="8"/>
      <c r="C2" s="9" t="s">
        <v>6</v>
      </c>
      <c r="D2" s="9" t="s">
        <v>7</v>
      </c>
      <c r="E2" s="9" t="s">
        <v>6</v>
      </c>
      <c r="F2" s="9" t="s">
        <v>7</v>
      </c>
      <c r="G2" s="9" t="s">
        <v>8</v>
      </c>
      <c r="H2" s="10"/>
      <c r="I2" s="11"/>
    </row>
    <row r="3" spans="1:9">
      <c r="A3" s="12" t="s">
        <v>9</v>
      </c>
      <c r="B3" s="13" t="s">
        <v>10</v>
      </c>
      <c r="C3" s="13">
        <v>0</v>
      </c>
      <c r="D3" s="13" t="s">
        <v>11</v>
      </c>
      <c r="E3" s="13">
        <v>384</v>
      </c>
      <c r="F3" s="13" t="str">
        <f>"0x"&amp;RIGHT("0000"&amp;DEC2HEX(E3),4)</f>
        <v>0x0180</v>
      </c>
      <c r="G3" s="13">
        <v>1</v>
      </c>
      <c r="H3" s="13" t="s">
        <v>12</v>
      </c>
      <c r="I3" s="14" t="s">
        <v>12</v>
      </c>
    </row>
    <row r="4" spans="1:9">
      <c r="A4" s="15"/>
      <c r="B4" s="13" t="s">
        <v>13</v>
      </c>
      <c r="C4" s="13">
        <v>1</v>
      </c>
      <c r="D4" s="13" t="s">
        <v>14</v>
      </c>
      <c r="E4" s="13">
        <v>385</v>
      </c>
      <c r="F4" s="13" t="str">
        <f t="shared" ref="F4:F7" si="0">"0x"&amp;RIGHT("0000"&amp;DEC2HEX(E4),4)</f>
        <v>0x0181</v>
      </c>
      <c r="G4" s="13">
        <v>1</v>
      </c>
      <c r="H4" s="13" t="s">
        <v>15</v>
      </c>
      <c r="I4" s="14" t="s">
        <v>15</v>
      </c>
    </row>
    <row r="5" spans="1:9">
      <c r="A5" s="15"/>
      <c r="B5" s="13" t="s">
        <v>16</v>
      </c>
      <c r="C5" s="13">
        <v>1000</v>
      </c>
      <c r="D5" s="13" t="s">
        <v>17</v>
      </c>
      <c r="E5" s="13">
        <v>386</v>
      </c>
      <c r="F5" s="13" t="str">
        <f t="shared" si="0"/>
        <v>0x0182</v>
      </c>
      <c r="G5" s="13">
        <v>2</v>
      </c>
      <c r="H5" s="13" t="s">
        <v>18</v>
      </c>
      <c r="I5" s="14" t="s">
        <v>19</v>
      </c>
    </row>
    <row r="6" spans="1:9">
      <c r="A6" s="15"/>
      <c r="B6" s="13" t="s">
        <v>20</v>
      </c>
      <c r="C6" s="13">
        <v>200</v>
      </c>
      <c r="D6" s="13" t="s">
        <v>21</v>
      </c>
      <c r="E6" s="13">
        <v>388</v>
      </c>
      <c r="F6" s="13" t="str">
        <f t="shared" si="0"/>
        <v>0x0184</v>
      </c>
      <c r="G6" s="13">
        <v>2</v>
      </c>
      <c r="H6" s="13" t="s">
        <v>22</v>
      </c>
      <c r="I6" s="14" t="s">
        <v>23</v>
      </c>
    </row>
    <row r="7" spans="1:9">
      <c r="A7" s="15"/>
      <c r="B7" s="13" t="s">
        <v>24</v>
      </c>
      <c r="C7" s="13">
        <v>255</v>
      </c>
      <c r="D7" s="13" t="s">
        <v>25</v>
      </c>
      <c r="E7" s="13">
        <v>384</v>
      </c>
      <c r="F7" s="13" t="str">
        <f t="shared" si="0"/>
        <v>0x0180</v>
      </c>
      <c r="G7" s="13">
        <v>1</v>
      </c>
      <c r="H7" s="13" t="s">
        <v>26</v>
      </c>
      <c r="I7" s="14" t="s">
        <v>26</v>
      </c>
    </row>
    <row r="8" spans="1:9">
      <c r="A8" s="16"/>
      <c r="B8" s="17"/>
      <c r="C8" s="17"/>
      <c r="D8" s="17"/>
      <c r="E8" s="17"/>
      <c r="F8" s="17"/>
      <c r="G8" s="17"/>
      <c r="H8" s="17"/>
      <c r="I8" s="18"/>
    </row>
    <row r="9" spans="1:9">
      <c r="A9" s="19" t="s">
        <v>27</v>
      </c>
      <c r="B9" s="20" t="s">
        <v>10</v>
      </c>
      <c r="C9" s="20">
        <v>0</v>
      </c>
      <c r="D9" s="20" t="s">
        <v>11</v>
      </c>
      <c r="E9" s="20">
        <v>384</v>
      </c>
      <c r="F9" s="20" t="str">
        <f>"0x"&amp;RIGHT("0000"&amp;DEC2HEX(E9),4)</f>
        <v>0x0180</v>
      </c>
      <c r="G9" s="20">
        <v>1</v>
      </c>
      <c r="H9" s="20" t="s">
        <v>12</v>
      </c>
      <c r="I9" s="21" t="s">
        <v>12</v>
      </c>
    </row>
    <row r="10" spans="1:9">
      <c r="A10" s="22"/>
      <c r="B10" s="20" t="s">
        <v>28</v>
      </c>
      <c r="C10" s="20">
        <v>2</v>
      </c>
      <c r="D10" s="20" t="s">
        <v>29</v>
      </c>
      <c r="E10" s="20">
        <v>385</v>
      </c>
      <c r="F10" s="20" t="str">
        <f t="shared" ref="F10:F13" si="1">"0x"&amp;RIGHT("0000"&amp;DEC2HEX(E10),4)</f>
        <v>0x0181</v>
      </c>
      <c r="G10" s="20">
        <v>1</v>
      </c>
      <c r="H10" s="20" t="s">
        <v>30</v>
      </c>
      <c r="I10" s="21" t="s">
        <v>30</v>
      </c>
    </row>
    <row r="11" spans="1:9">
      <c r="A11" s="22"/>
      <c r="B11" s="20" t="s">
        <v>31</v>
      </c>
      <c r="C11" s="20">
        <v>10000</v>
      </c>
      <c r="D11" s="20" t="s">
        <v>32</v>
      </c>
      <c r="E11" s="20">
        <v>390</v>
      </c>
      <c r="F11" s="20" t="str">
        <f t="shared" si="1"/>
        <v>0x0186</v>
      </c>
      <c r="G11" s="20">
        <v>2</v>
      </c>
      <c r="H11" s="20" t="s">
        <v>33</v>
      </c>
      <c r="I11" s="21" t="s">
        <v>34</v>
      </c>
    </row>
    <row r="12" spans="1:9">
      <c r="A12" s="22"/>
      <c r="B12" s="20" t="s">
        <v>35</v>
      </c>
      <c r="C12" s="20">
        <v>2000</v>
      </c>
      <c r="D12" s="20" t="s">
        <v>36</v>
      </c>
      <c r="E12" s="20">
        <v>392</v>
      </c>
      <c r="F12" s="20" t="str">
        <f t="shared" si="1"/>
        <v>0x0188</v>
      </c>
      <c r="G12" s="20">
        <v>2</v>
      </c>
      <c r="H12" s="20" t="s">
        <v>37</v>
      </c>
      <c r="I12" s="21" t="s">
        <v>38</v>
      </c>
    </row>
    <row r="13" spans="1:9">
      <c r="A13" s="22"/>
      <c r="B13" s="20" t="s">
        <v>24</v>
      </c>
      <c r="C13" s="20">
        <v>255</v>
      </c>
      <c r="D13" s="20" t="s">
        <v>25</v>
      </c>
      <c r="E13" s="20">
        <v>384</v>
      </c>
      <c r="F13" s="20" t="str">
        <f t="shared" si="1"/>
        <v>0x0180</v>
      </c>
      <c r="G13" s="20">
        <v>1</v>
      </c>
      <c r="H13" s="20" t="s">
        <v>26</v>
      </c>
      <c r="I13" s="21" t="s">
        <v>26</v>
      </c>
    </row>
    <row r="14" spans="1:9">
      <c r="A14" s="16"/>
      <c r="B14" s="17"/>
      <c r="C14" s="17"/>
      <c r="D14" s="17"/>
      <c r="E14" s="17"/>
      <c r="F14" s="17"/>
      <c r="G14" s="17"/>
      <c r="H14" s="17"/>
      <c r="I14" s="18"/>
    </row>
    <row r="15" spans="1:9">
      <c r="A15" s="12" t="s">
        <v>39</v>
      </c>
      <c r="B15" s="13" t="s">
        <v>10</v>
      </c>
      <c r="C15" s="13">
        <v>0</v>
      </c>
      <c r="D15" s="13" t="s">
        <v>11</v>
      </c>
      <c r="E15" s="13">
        <v>384</v>
      </c>
      <c r="F15" s="13" t="str">
        <f>"0x"&amp;RIGHT("0000"&amp;DEC2HEX(E15),4)</f>
        <v>0x0180</v>
      </c>
      <c r="G15" s="13">
        <v>1</v>
      </c>
      <c r="H15" s="13" t="s">
        <v>12</v>
      </c>
      <c r="I15" s="14" t="s">
        <v>12</v>
      </c>
    </row>
    <row r="16" spans="1:9">
      <c r="A16" s="15"/>
      <c r="B16" s="13" t="s">
        <v>40</v>
      </c>
      <c r="C16" s="13">
        <v>3</v>
      </c>
      <c r="D16" s="13" t="s">
        <v>41</v>
      </c>
      <c r="E16" s="13">
        <v>385</v>
      </c>
      <c r="F16" s="13" t="str">
        <f t="shared" ref="F16:F18" si="2">"0x"&amp;RIGHT("0000"&amp;DEC2HEX(E16),4)</f>
        <v>0x0181</v>
      </c>
      <c r="G16" s="13">
        <v>1</v>
      </c>
      <c r="H16" s="13" t="s">
        <v>42</v>
      </c>
      <c r="I16" s="14" t="s">
        <v>42</v>
      </c>
    </row>
    <row r="17" spans="1:10">
      <c r="A17" s="15"/>
      <c r="B17" s="13" t="s">
        <v>43</v>
      </c>
      <c r="C17" s="13">
        <v>8192</v>
      </c>
      <c r="D17" s="13" t="s">
        <v>44</v>
      </c>
      <c r="E17" s="13">
        <v>394</v>
      </c>
      <c r="F17" s="13" t="str">
        <f t="shared" si="2"/>
        <v>0x018A</v>
      </c>
      <c r="G17" s="13">
        <v>2</v>
      </c>
      <c r="H17" s="13" t="s">
        <v>45</v>
      </c>
      <c r="I17" s="14" t="s">
        <v>46</v>
      </c>
    </row>
    <row r="18" spans="1:10">
      <c r="A18" s="15"/>
      <c r="B18" s="13" t="s">
        <v>24</v>
      </c>
      <c r="C18" s="13">
        <v>255</v>
      </c>
      <c r="D18" s="13" t="s">
        <v>25</v>
      </c>
      <c r="E18" s="13">
        <v>384</v>
      </c>
      <c r="F18" s="13" t="str">
        <f t="shared" si="2"/>
        <v>0x0180</v>
      </c>
      <c r="G18" s="13">
        <v>1</v>
      </c>
      <c r="H18" s="20" t="s">
        <v>26</v>
      </c>
      <c r="I18" s="21" t="s">
        <v>26</v>
      </c>
    </row>
    <row r="19" spans="1:10">
      <c r="A19" s="16"/>
      <c r="B19" s="17"/>
      <c r="C19" s="17"/>
      <c r="D19" s="17"/>
      <c r="E19" s="17"/>
      <c r="F19" s="17"/>
      <c r="G19" s="17"/>
      <c r="H19" s="17"/>
      <c r="I19" s="18"/>
    </row>
    <row r="20" spans="1:10">
      <c r="A20" s="19" t="s">
        <v>47</v>
      </c>
      <c r="B20" s="20" t="s">
        <v>10</v>
      </c>
      <c r="C20" s="20">
        <v>0</v>
      </c>
      <c r="D20" s="20" t="s">
        <v>11</v>
      </c>
      <c r="E20" s="20">
        <v>384</v>
      </c>
      <c r="F20" s="20" t="str">
        <f>"0x"&amp;RIGHT("0000"&amp;DEC2HEX(E20),4)</f>
        <v>0x0180</v>
      </c>
      <c r="G20" s="20">
        <v>1</v>
      </c>
      <c r="H20" s="20" t="s">
        <v>12</v>
      </c>
      <c r="I20" s="21" t="s">
        <v>12</v>
      </c>
    </row>
    <row r="21" spans="1:10">
      <c r="A21" s="22"/>
      <c r="B21" s="20" t="s">
        <v>48</v>
      </c>
      <c r="C21" s="20">
        <v>4</v>
      </c>
      <c r="D21" s="20" t="s">
        <v>49</v>
      </c>
      <c r="E21" s="20">
        <v>385</v>
      </c>
      <c r="F21" s="20" t="str">
        <f t="shared" ref="F21:F23" si="3">"0x"&amp;RIGHT("0000"&amp;DEC2HEX(E21),4)</f>
        <v>0x0181</v>
      </c>
      <c r="G21" s="20">
        <v>1</v>
      </c>
      <c r="H21" s="20" t="s">
        <v>50</v>
      </c>
      <c r="I21" s="21" t="s">
        <v>50</v>
      </c>
    </row>
    <row r="22" spans="1:10">
      <c r="A22" s="22"/>
      <c r="B22" s="20" t="s">
        <v>51</v>
      </c>
      <c r="C22" s="20">
        <v>4096</v>
      </c>
      <c r="D22" s="20" t="s">
        <v>52</v>
      </c>
      <c r="E22" s="20">
        <v>396</v>
      </c>
      <c r="F22" s="20" t="str">
        <f t="shared" si="3"/>
        <v>0x018C</v>
      </c>
      <c r="G22" s="20">
        <v>2</v>
      </c>
      <c r="H22" s="20" t="s">
        <v>53</v>
      </c>
      <c r="I22" s="21" t="s">
        <v>54</v>
      </c>
    </row>
    <row r="23" spans="1:10">
      <c r="A23" s="22"/>
      <c r="B23" s="20" t="s">
        <v>24</v>
      </c>
      <c r="C23" s="20">
        <v>255</v>
      </c>
      <c r="D23" s="20" t="s">
        <v>25</v>
      </c>
      <c r="E23" s="20">
        <v>384</v>
      </c>
      <c r="F23" s="20" t="str">
        <f t="shared" si="3"/>
        <v>0x0180</v>
      </c>
      <c r="G23" s="20">
        <v>1</v>
      </c>
      <c r="H23" s="20" t="s">
        <v>26</v>
      </c>
      <c r="I23" s="21" t="s">
        <v>26</v>
      </c>
    </row>
    <row r="24" spans="1:10">
      <c r="A24" s="16"/>
      <c r="B24" s="17"/>
      <c r="C24" s="17"/>
      <c r="D24" s="17"/>
      <c r="E24" s="17"/>
      <c r="F24" s="17"/>
      <c r="G24" s="17"/>
      <c r="H24" s="17"/>
      <c r="I24" s="18"/>
    </row>
    <row r="25" spans="1:10">
      <c r="A25" s="23" t="s">
        <v>55</v>
      </c>
      <c r="B25" s="20" t="s">
        <v>10</v>
      </c>
      <c r="C25" s="20">
        <v>0</v>
      </c>
      <c r="D25" s="20" t="s">
        <v>11</v>
      </c>
      <c r="E25" s="20">
        <v>384</v>
      </c>
      <c r="F25" s="20" t="str">
        <f t="shared" ref="F25:F30" si="4">"0x"&amp;RIGHT("0000"&amp;DEC2HEX(E25),4)</f>
        <v>0x0180</v>
      </c>
      <c r="G25" s="20">
        <v>1</v>
      </c>
      <c r="H25" s="20" t="s">
        <v>12</v>
      </c>
      <c r="I25" s="21" t="s">
        <v>12</v>
      </c>
    </row>
    <row r="26" spans="1:10">
      <c r="A26" s="23"/>
      <c r="B26" s="20" t="s">
        <v>56</v>
      </c>
      <c r="C26" s="20">
        <v>6</v>
      </c>
      <c r="D26" s="20" t="s">
        <v>57</v>
      </c>
      <c r="E26" s="20">
        <v>385</v>
      </c>
      <c r="F26" s="20" t="str">
        <f t="shared" si="4"/>
        <v>0x0181</v>
      </c>
      <c r="G26" s="20">
        <v>1</v>
      </c>
      <c r="H26" s="20" t="s">
        <v>58</v>
      </c>
      <c r="I26" s="21" t="s">
        <v>58</v>
      </c>
    </row>
    <row r="27" spans="1:10">
      <c r="A27" s="23"/>
      <c r="B27" s="20" t="s">
        <v>59</v>
      </c>
      <c r="C27" s="20">
        <v>1000</v>
      </c>
      <c r="D27" s="20" t="s">
        <v>17</v>
      </c>
      <c r="E27" s="20">
        <v>500</v>
      </c>
      <c r="F27" s="20" t="str">
        <f t="shared" si="4"/>
        <v>0x01F4</v>
      </c>
      <c r="G27" s="20">
        <v>2</v>
      </c>
      <c r="H27" s="20" t="s">
        <v>60</v>
      </c>
      <c r="I27" s="21" t="s">
        <v>61</v>
      </c>
    </row>
    <row r="28" spans="1:10">
      <c r="A28" s="23"/>
      <c r="B28" s="20" t="s">
        <v>62</v>
      </c>
      <c r="C28" s="20">
        <v>1000</v>
      </c>
      <c r="D28" s="20" t="s">
        <v>17</v>
      </c>
      <c r="E28" s="20">
        <v>502</v>
      </c>
      <c r="F28" s="20" t="str">
        <f t="shared" si="4"/>
        <v>0x01F6</v>
      </c>
      <c r="G28" s="20">
        <v>1</v>
      </c>
      <c r="H28" s="20" t="s">
        <v>63</v>
      </c>
      <c r="I28" s="21" t="s">
        <v>64</v>
      </c>
    </row>
    <row r="29" spans="1:10">
      <c r="A29" s="24"/>
      <c r="B29" s="20" t="s">
        <v>65</v>
      </c>
      <c r="C29" s="20">
        <v>4096</v>
      </c>
      <c r="D29" s="20" t="s">
        <v>52</v>
      </c>
      <c r="E29" s="20">
        <v>600</v>
      </c>
      <c r="F29" s="20" t="str">
        <f t="shared" si="4"/>
        <v>0x0258</v>
      </c>
      <c r="G29" s="20">
        <v>2</v>
      </c>
      <c r="H29" s="20" t="s">
        <v>66</v>
      </c>
      <c r="I29" s="21" t="s">
        <v>67</v>
      </c>
    </row>
    <row r="30" spans="1:10">
      <c r="A30" s="24"/>
      <c r="B30" s="25" t="s">
        <v>24</v>
      </c>
      <c r="C30" s="25">
        <v>255</v>
      </c>
      <c r="D30" s="25" t="s">
        <v>25</v>
      </c>
      <c r="E30" s="25">
        <v>384</v>
      </c>
      <c r="F30" s="25" t="str">
        <f t="shared" si="4"/>
        <v>0x0180</v>
      </c>
      <c r="G30" s="25">
        <v>1</v>
      </c>
      <c r="H30" s="25" t="s">
        <v>26</v>
      </c>
      <c r="I30" s="26" t="s">
        <v>26</v>
      </c>
    </row>
    <row r="31" spans="1:10">
      <c r="A31" s="27"/>
      <c r="B31" s="28"/>
      <c r="C31" s="28"/>
      <c r="D31" s="28"/>
      <c r="E31" s="28"/>
      <c r="F31" s="28"/>
      <c r="G31" s="28"/>
      <c r="H31" s="28"/>
      <c r="I31" s="29"/>
      <c r="J31" s="30"/>
    </row>
    <row r="32" spans="1:10">
      <c r="A32" s="23" t="s">
        <v>68</v>
      </c>
      <c r="B32" s="20" t="s">
        <v>10</v>
      </c>
      <c r="C32" s="20">
        <v>0</v>
      </c>
      <c r="D32" s="20" t="s">
        <v>11</v>
      </c>
      <c r="E32" s="20">
        <v>384</v>
      </c>
      <c r="F32" s="20" t="str">
        <f t="shared" ref="F32:F38" si="5">"0x"&amp;RIGHT("0000"&amp;DEC2HEX(E32),4)</f>
        <v>0x0180</v>
      </c>
      <c r="G32" s="20">
        <v>1</v>
      </c>
      <c r="H32" s="20" t="s">
        <v>12</v>
      </c>
      <c r="I32" s="21" t="s">
        <v>12</v>
      </c>
    </row>
    <row r="33" spans="1:10">
      <c r="A33" s="23"/>
      <c r="B33" s="20" t="s">
        <v>56</v>
      </c>
      <c r="C33" s="20">
        <v>8</v>
      </c>
      <c r="D33" s="20" t="s">
        <v>69</v>
      </c>
      <c r="E33" s="20">
        <v>385</v>
      </c>
      <c r="F33" s="20" t="str">
        <f t="shared" si="5"/>
        <v>0x0181</v>
      </c>
      <c r="G33" s="20">
        <v>1</v>
      </c>
      <c r="H33" s="20" t="s">
        <v>70</v>
      </c>
      <c r="I33" s="21" t="s">
        <v>70</v>
      </c>
    </row>
    <row r="34" spans="1:10">
      <c r="A34" s="23"/>
      <c r="B34" s="20" t="s">
        <v>71</v>
      </c>
      <c r="C34" s="20">
        <v>10</v>
      </c>
      <c r="D34" s="20" t="s">
        <v>72</v>
      </c>
      <c r="E34" s="20">
        <v>504</v>
      </c>
      <c r="F34" s="20" t="str">
        <f t="shared" si="5"/>
        <v>0x01F8</v>
      </c>
      <c r="G34" s="20">
        <v>2</v>
      </c>
      <c r="H34" s="20" t="s">
        <v>73</v>
      </c>
      <c r="I34" s="21" t="s">
        <v>73</v>
      </c>
    </row>
    <row r="35" spans="1:10">
      <c r="A35" s="23"/>
      <c r="B35" s="20" t="s">
        <v>74</v>
      </c>
      <c r="C35" s="20">
        <v>0.001</v>
      </c>
      <c r="D35" s="20" t="s">
        <v>75</v>
      </c>
      <c r="E35" s="20">
        <v>505</v>
      </c>
      <c r="F35" s="20" t="str">
        <f t="shared" si="5"/>
        <v>0x01F9</v>
      </c>
      <c r="G35" s="20">
        <v>1</v>
      </c>
      <c r="H35" s="20" t="s">
        <v>76</v>
      </c>
      <c r="I35" s="21" t="s">
        <v>77</v>
      </c>
    </row>
    <row r="36" spans="1:10">
      <c r="A36" s="24"/>
      <c r="B36" s="20" t="s">
        <v>78</v>
      </c>
      <c r="C36" s="20">
        <v>1000</v>
      </c>
      <c r="D36" s="20" t="s">
        <v>17</v>
      </c>
      <c r="E36" s="20">
        <v>507</v>
      </c>
      <c r="F36" s="20" t="str">
        <f t="shared" si="5"/>
        <v>0x01FB</v>
      </c>
      <c r="G36" s="20">
        <v>1</v>
      </c>
      <c r="H36" s="20" t="s">
        <v>79</v>
      </c>
      <c r="I36" s="21" t="s">
        <v>80</v>
      </c>
    </row>
    <row r="37" spans="1:10">
      <c r="A37" s="24"/>
      <c r="B37" s="20" t="s">
        <v>81</v>
      </c>
      <c r="C37" s="20">
        <v>4096</v>
      </c>
      <c r="D37" s="20" t="s">
        <v>52</v>
      </c>
      <c r="E37" s="20">
        <v>604</v>
      </c>
      <c r="F37" s="20" t="str">
        <f t="shared" si="5"/>
        <v>0x025C</v>
      </c>
      <c r="G37" s="20">
        <v>2</v>
      </c>
      <c r="H37" s="20" t="s">
        <v>82</v>
      </c>
      <c r="I37" s="21" t="s">
        <v>83</v>
      </c>
    </row>
    <row r="38" spans="1:10">
      <c r="A38" s="31"/>
      <c r="B38" s="20" t="s">
        <v>24</v>
      </c>
      <c r="C38" s="25">
        <v>255</v>
      </c>
      <c r="D38" s="20" t="s">
        <v>25</v>
      </c>
      <c r="E38" s="25">
        <v>384</v>
      </c>
      <c r="F38" s="20" t="str">
        <f t="shared" si="5"/>
        <v>0x0180</v>
      </c>
      <c r="G38" s="25">
        <v>1</v>
      </c>
      <c r="H38" s="20" t="s">
        <v>26</v>
      </c>
      <c r="I38" s="26" t="s">
        <v>26</v>
      </c>
    </row>
    <row r="39" spans="1:10">
      <c r="A39" s="30"/>
      <c r="C39" s="32"/>
      <c r="E39" s="32"/>
      <c r="G39" s="32"/>
      <c r="I39" s="33"/>
    </row>
    <row r="40" spans="1:10">
      <c r="A40" s="30"/>
      <c r="I40" s="34"/>
      <c r="J40" s="30"/>
    </row>
    <row r="41" spans="1:10">
      <c r="A41" s="35" t="s">
        <v>84</v>
      </c>
      <c r="B41" s="36"/>
      <c r="C41" s="36"/>
      <c r="D41" s="36"/>
      <c r="E41" s="36"/>
      <c r="F41" s="36"/>
      <c r="G41" s="36"/>
      <c r="H41" s="36"/>
      <c r="I41" s="37"/>
    </row>
    <row r="42" spans="1:10">
      <c r="A42" s="35" t="s">
        <v>12</v>
      </c>
      <c r="B42" s="36"/>
      <c r="C42" s="36"/>
      <c r="D42" s="36"/>
      <c r="E42" s="36"/>
      <c r="F42" s="36"/>
      <c r="G42" s="36"/>
      <c r="H42" s="36"/>
      <c r="I42" s="37"/>
    </row>
    <row r="43" spans="1:10">
      <c r="A43" s="35" t="s">
        <v>85</v>
      </c>
      <c r="B43" s="36"/>
      <c r="C43" s="36"/>
      <c r="D43" s="36"/>
      <c r="E43" s="36"/>
      <c r="F43" s="36"/>
      <c r="G43" s="36"/>
      <c r="H43" s="36"/>
      <c r="I43" s="37"/>
    </row>
    <row r="44" spans="1:10">
      <c r="A44" s="35" t="s">
        <v>18</v>
      </c>
      <c r="B44" s="36"/>
      <c r="C44" s="36"/>
      <c r="D44" s="36"/>
      <c r="E44" s="36"/>
      <c r="F44" s="36"/>
      <c r="G44" s="36"/>
      <c r="H44" s="36"/>
      <c r="I44" s="37"/>
    </row>
    <row r="45" spans="1:10">
      <c r="A45" s="38" t="s">
        <v>86</v>
      </c>
      <c r="B45" s="39"/>
      <c r="C45" s="39"/>
      <c r="D45" s="39"/>
      <c r="E45" s="39"/>
      <c r="F45" s="39"/>
      <c r="G45" s="39"/>
      <c r="H45" s="39"/>
      <c r="I45" s="40"/>
    </row>
  </sheetData>
  <mergeCells count="22">
    <mergeCell ref="C1:D1"/>
    <mergeCell ref="E1:G1"/>
    <mergeCell ref="A8:I8"/>
    <mergeCell ref="A14:I14"/>
    <mergeCell ref="A19:I19"/>
    <mergeCell ref="A24:I24"/>
    <mergeCell ref="A31:I31"/>
    <mergeCell ref="A41:I41"/>
    <mergeCell ref="A42:I42"/>
    <mergeCell ref="A43:I43"/>
    <mergeCell ref="A44:I44"/>
    <mergeCell ref="A45:I45"/>
    <mergeCell ref="A1:A2"/>
    <mergeCell ref="A3:A7"/>
    <mergeCell ref="A9:A13"/>
    <mergeCell ref="A15:A18"/>
    <mergeCell ref="A20:A23"/>
    <mergeCell ref="A25:A30"/>
    <mergeCell ref="A32:A38"/>
    <mergeCell ref="B1:B2"/>
    <mergeCell ref="H1:H2"/>
    <mergeCell ref="I1:I2"/>
  </mergeCells>
  <pageMargins left="0.7" right="0.7" top="0.75" bottom="0.75" header="0.3" footer="0.3"/>
  <pageSetup paperSize="9" scale="6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CZY</dc:creator>
  <cp:lastModifiedBy>WPS_1755333347</cp:lastModifiedBy>
  <dcterms:created xsi:type="dcterms:W3CDTF">2015-06-05T18:19:00Z</dcterms:created>
  <cp:lastPrinted>2024-06-25T08:54:00Z</cp:lastPrinted>
  <dcterms:modified xsi:type="dcterms:W3CDTF">2026-03-31T12:24:43Z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289D6AD00BEE4CE5A6C52DBFADF46305_12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